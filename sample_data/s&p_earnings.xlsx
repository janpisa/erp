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se-my.sharepoint.com/personal/pisj02_vse_cz/Documents/Investing/Term Structure/"/>
    </mc:Choice>
  </mc:AlternateContent>
  <xr:revisionPtr revIDLastSave="70" documentId="8_{6B0D76B8-A4E7-487D-83F0-CADF25390F82}" xr6:coauthVersionLast="47" xr6:coauthVersionMax="47" xr10:uidLastSave="{9FF24ED9-4C8B-41F9-B391-856EDE9AE12A}"/>
  <bookViews>
    <workbookView xWindow="-110" yWindow="-110" windowWidth="19420" windowHeight="11500" xr2:uid="{958AD871-714F-438C-A4B4-4C71383D4755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1" l="1"/>
  <c r="B24" i="1"/>
  <c r="B8" i="1"/>
  <c r="B9" i="1"/>
  <c r="B10" i="1"/>
  <c r="B11" i="1"/>
  <c r="B12" i="1"/>
  <c r="B13" i="1"/>
  <c r="B14" i="1"/>
  <c r="B15" i="1"/>
  <c r="B16" i="1" s="1"/>
  <c r="B17" i="1" s="1"/>
  <c r="B18" i="1" s="1"/>
  <c r="B19" i="1" s="1"/>
  <c r="B20" i="1" s="1"/>
  <c r="B21" i="1" s="1"/>
  <c r="B22" i="1" s="1"/>
  <c r="B23" i="1" s="1"/>
  <c r="B7" i="1"/>
  <c r="B6" i="1"/>
  <c r="B5" i="1"/>
  <c r="C5" i="1"/>
  <c r="C4" i="1"/>
  <c r="C3" i="1"/>
</calcChain>
</file>

<file path=xl/sharedStrings.xml><?xml version="1.0" encoding="utf-8"?>
<sst xmlns="http://schemas.openxmlformats.org/spreadsheetml/2006/main" count="26" uniqueCount="26">
  <si>
    <t>date</t>
  </si>
  <si>
    <t>earnings</t>
  </si>
  <si>
    <t>2026-12-31</t>
  </si>
  <si>
    <t>2027-12-31</t>
  </si>
  <si>
    <t>2025-12-31</t>
  </si>
  <si>
    <t>growth</t>
  </si>
  <si>
    <t>2028-12-31</t>
  </si>
  <si>
    <t>2029-12-31</t>
  </si>
  <si>
    <t>2030-12-31</t>
  </si>
  <si>
    <t>2031-12-31</t>
  </si>
  <si>
    <t>2032-12-31</t>
  </si>
  <si>
    <t>2034-12-31</t>
  </si>
  <si>
    <t>2035-12-31</t>
  </si>
  <si>
    <t>2036-12-31</t>
  </si>
  <si>
    <t>2037-12-31</t>
  </si>
  <si>
    <t>2038-12-31</t>
  </si>
  <si>
    <t>2039-12-31</t>
  </si>
  <si>
    <t>2040-12-31</t>
  </si>
  <si>
    <t>2041-12-31</t>
  </si>
  <si>
    <t>2042-12-31</t>
  </si>
  <si>
    <t>2043-12-31</t>
  </si>
  <si>
    <t>2044-12-31</t>
  </si>
  <si>
    <t>2045-12-31</t>
  </si>
  <si>
    <t>2046-12-31</t>
  </si>
  <si>
    <t>2047-12-31</t>
  </si>
  <si>
    <t>2048-12-31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</si>
</sst>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9ADC5-796E-4210-8F28-42F0D7EDB98C}">
  <dimension ref="A1:C24"/>
  <sheetViews>
    <sheetView tabSelected="1" workbookViewId="0">
      <selection activeCell="E3" sqref="E3"/>
    </sheetView>
  </sheetViews>
  <sheetFormatPr defaultRowHeight="14.5" x14ac:dyDescent="0.35"/>
  <cols>
    <col min="1" max="1" width="10.08984375" bestFit="1" customWidth="1"/>
  </cols>
  <sheetData>
    <row r="1" spans="1:3" x14ac:dyDescent="0.35">
      <c r="A1" t="s">
        <v>0</v>
      </c>
      <c r="B1" t="s">
        <v>1</v>
      </c>
      <c r="C1" t="s">
        <v>5</v>
      </c>
    </row>
    <row r="2" spans="1:3" x14ac:dyDescent="0.35">
      <c r="A2" s="1" t="s">
        <v>4</v>
      </c>
      <c r="B2">
        <v>271.29000000000002</v>
      </c>
    </row>
    <row r="3" spans="1:3" x14ac:dyDescent="0.35">
      <c r="A3" s="1" t="s">
        <v>2</v>
      </c>
      <c r="B3">
        <v>341.35</v>
      </c>
      <c r="C3">
        <f>B3/B2-1</f>
        <v>0.25824763168565013</v>
      </c>
    </row>
    <row r="4" spans="1:3" x14ac:dyDescent="0.35">
      <c r="A4" s="1" t="s">
        <v>3</v>
      </c>
      <c r="B4">
        <v>403.8</v>
      </c>
      <c r="C4">
        <f>B4/B3-1</f>
        <v>0.1829500512670279</v>
      </c>
    </row>
    <row r="5" spans="1:3" x14ac:dyDescent="0.35">
      <c r="A5" s="2" t="s">
        <v>6</v>
      </c>
      <c r="B5">
        <f>B4*(1+C5)</f>
        <v>458.16495380108398</v>
      </c>
      <c r="C5">
        <f>C4+(C7-C4)*(1/3)</f>
        <v>0.13463336751135194</v>
      </c>
    </row>
    <row r="6" spans="1:3" x14ac:dyDescent="0.35">
      <c r="A6" s="2" t="s">
        <v>7</v>
      </c>
      <c r="B6">
        <f>B5*(1+C6)</f>
        <v>497.71223322626599</v>
      </c>
      <c r="C6">
        <f>C4+(C7-C4)*(2/3)</f>
        <v>8.6316683755675971E-2</v>
      </c>
    </row>
    <row r="7" spans="1:3" x14ac:dyDescent="0.35">
      <c r="A7" s="2" t="s">
        <v>8</v>
      </c>
      <c r="B7">
        <f>B6*(1+C7)</f>
        <v>516.62529808886416</v>
      </c>
      <c r="C7">
        <v>3.7999999999999999E-2</v>
      </c>
    </row>
    <row r="8" spans="1:3" x14ac:dyDescent="0.35">
      <c r="A8" s="2" t="s">
        <v>9</v>
      </c>
      <c r="B8">
        <f t="shared" ref="B8:B24" si="0">B7*(1+C8)</f>
        <v>536.25705941624096</v>
      </c>
      <c r="C8">
        <v>3.7999999999999999E-2</v>
      </c>
    </row>
    <row r="9" spans="1:3" x14ac:dyDescent="0.35">
      <c r="A9" s="2" t="s">
        <v>10</v>
      </c>
      <c r="B9">
        <f t="shared" si="0"/>
        <v>556.6348276740581</v>
      </c>
      <c r="C9">
        <v>3.7999999999999999E-2</v>
      </c>
    </row>
    <row r="10" spans="1:3" x14ac:dyDescent="0.35">
      <c r="A10" s="2" t="s">
        <v>11</v>
      </c>
      <c r="B10">
        <f t="shared" si="0"/>
        <v>577.78695112567232</v>
      </c>
      <c r="C10">
        <v>3.7999999999999999E-2</v>
      </c>
    </row>
    <row r="11" spans="1:3" x14ac:dyDescent="0.35">
      <c r="A11" s="2" t="s">
        <v>12</v>
      </c>
      <c r="B11">
        <f t="shared" si="0"/>
        <v>599.7428552684479</v>
      </c>
      <c r="C11">
        <v>3.7999999999999999E-2</v>
      </c>
    </row>
    <row r="12" spans="1:3" x14ac:dyDescent="0.35">
      <c r="A12" s="2" t="s">
        <v>13</v>
      </c>
      <c r="B12">
        <f t="shared" si="0"/>
        <v>622.53308376864891</v>
      </c>
      <c r="C12">
        <v>3.7999999999999999E-2</v>
      </c>
    </row>
    <row r="13" spans="1:3" x14ac:dyDescent="0.35">
      <c r="A13" s="2" t="s">
        <v>14</v>
      </c>
      <c r="B13">
        <f t="shared" si="0"/>
        <v>646.18934095185762</v>
      </c>
      <c r="C13">
        <v>3.7999999999999999E-2</v>
      </c>
    </row>
    <row r="14" spans="1:3" x14ac:dyDescent="0.35">
      <c r="A14" s="2" t="s">
        <v>15</v>
      </c>
      <c r="B14">
        <f t="shared" si="0"/>
        <v>670.74453590802818</v>
      </c>
      <c r="C14">
        <v>3.7999999999999999E-2</v>
      </c>
    </row>
    <row r="15" spans="1:3" x14ac:dyDescent="0.35">
      <c r="A15" s="2" t="s">
        <v>16</v>
      </c>
      <c r="B15">
        <f t="shared" si="0"/>
        <v>696.23282827253331</v>
      </c>
      <c r="C15">
        <v>3.7999999999999999E-2</v>
      </c>
    </row>
    <row r="16" spans="1:3" x14ac:dyDescent="0.35">
      <c r="A16" s="2" t="s">
        <v>17</v>
      </c>
      <c r="B16">
        <f t="shared" si="0"/>
        <v>722.68967574688963</v>
      </c>
      <c r="C16">
        <v>3.7999999999999999E-2</v>
      </c>
    </row>
    <row r="17" spans="1:3" x14ac:dyDescent="0.35">
      <c r="A17" s="2" t="s">
        <v>18</v>
      </c>
      <c r="B17">
        <f t="shared" si="0"/>
        <v>750.15188342527142</v>
      </c>
      <c r="C17">
        <v>3.7999999999999999E-2</v>
      </c>
    </row>
    <row r="18" spans="1:3" x14ac:dyDescent="0.35">
      <c r="A18" s="2" t="s">
        <v>19</v>
      </c>
      <c r="B18">
        <f t="shared" si="0"/>
        <v>778.65765499543181</v>
      </c>
      <c r="C18">
        <v>3.7999999999999999E-2</v>
      </c>
    </row>
    <row r="19" spans="1:3" x14ac:dyDescent="0.35">
      <c r="A19" s="2" t="s">
        <v>20</v>
      </c>
      <c r="B19">
        <f t="shared" si="0"/>
        <v>808.2466458852582</v>
      </c>
      <c r="C19">
        <v>3.7999999999999999E-2</v>
      </c>
    </row>
    <row r="20" spans="1:3" x14ac:dyDescent="0.35">
      <c r="A20" s="2" t="s">
        <v>21</v>
      </c>
      <c r="B20">
        <f t="shared" si="0"/>
        <v>838.96001842889802</v>
      </c>
      <c r="C20">
        <v>3.7999999999999999E-2</v>
      </c>
    </row>
    <row r="21" spans="1:3" x14ac:dyDescent="0.35">
      <c r="A21" s="2" t="s">
        <v>22</v>
      </c>
      <c r="B21">
        <f t="shared" si="0"/>
        <v>870.84049912919613</v>
      </c>
      <c r="C21">
        <v>3.7999999999999999E-2</v>
      </c>
    </row>
    <row r="22" spans="1:3" x14ac:dyDescent="0.35">
      <c r="A22" s="2" t="s">
        <v>23</v>
      </c>
      <c r="B22">
        <f t="shared" si="0"/>
        <v>903.93243809610567</v>
      </c>
      <c r="C22">
        <v>3.7999999999999999E-2</v>
      </c>
    </row>
    <row r="23" spans="1:3" x14ac:dyDescent="0.35">
      <c r="A23" s="2" t="s">
        <v>24</v>
      </c>
      <c r="B23">
        <f t="shared" si="0"/>
        <v>938.28187074375774</v>
      </c>
      <c r="C23">
        <v>3.7999999999999999E-2</v>
      </c>
    </row>
    <row r="24" spans="1:3" x14ac:dyDescent="0.35">
      <c r="A24" s="2" t="s">
        <v>25</v>
      </c>
      <c r="B24">
        <f t="shared" si="0"/>
        <v>973.93658183202058</v>
      </c>
      <c r="C24">
        <v>3.7999999999999999E-2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Píša</dc:creator>
  <cp:lastModifiedBy>Jan Píša</cp:lastModifiedBy>
  <dcterms:created xsi:type="dcterms:W3CDTF">2026-07-13T15:56:37Z</dcterms:created>
  <dcterms:modified xsi:type="dcterms:W3CDTF">2026-07-16T13:06:23Z</dcterms:modified>
</cp:coreProperties>
</file>